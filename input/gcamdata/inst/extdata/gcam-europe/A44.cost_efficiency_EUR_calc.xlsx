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Documents\DIAMOND\GCAM-Europe\explorations\heat pump\"/>
    </mc:Choice>
  </mc:AlternateContent>
  <xr:revisionPtr revIDLastSave="0" documentId="13_ncr:1_{DFF6553F-D059-44AA-9E8E-FFC1BFAAB48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A44.cost_efficiency_EUR" sheetId="1" r:id="rId1"/>
  </sheets>
  <calcPr calcId="191029"/>
</workbook>
</file>

<file path=xl/calcChain.xml><?xml version="1.0" encoding="utf-8"?>
<calcChain xmlns="http://schemas.openxmlformats.org/spreadsheetml/2006/main">
  <c r="D62" i="1" l="1"/>
  <c r="D61" i="1"/>
  <c r="K61" i="1"/>
  <c r="D60" i="1"/>
  <c r="D59" i="1"/>
  <c r="D58" i="1"/>
  <c r="D57" i="1"/>
  <c r="D56" i="1"/>
  <c r="D55" i="1"/>
  <c r="D54" i="1"/>
  <c r="D53" i="1"/>
  <c r="D52" i="1"/>
  <c r="D51" i="1"/>
  <c r="K60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D33" i="1"/>
  <c r="D32" i="1"/>
  <c r="D31" i="1"/>
  <c r="D30" i="1"/>
  <c r="D29" i="1"/>
  <c r="H27" i="1"/>
  <c r="H33" i="1"/>
  <c r="H32" i="1"/>
  <c r="H31" i="1"/>
  <c r="H30" i="1"/>
  <c r="H29" i="1"/>
  <c r="H28" i="1"/>
  <c r="H8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9" i="1"/>
  <c r="D8" i="1"/>
  <c r="H22" i="1"/>
  <c r="H21" i="1"/>
  <c r="H20" i="1"/>
  <c r="H19" i="1"/>
  <c r="H18" i="1"/>
  <c r="H17" i="1"/>
  <c r="H16" i="1"/>
  <c r="H15" i="1"/>
  <c r="H14" i="1"/>
  <c r="H13" i="1"/>
  <c r="H24" i="1" l="1"/>
  <c r="H23" i="1"/>
  <c r="H12" i="1"/>
  <c r="H11" i="1"/>
  <c r="H10" i="1"/>
  <c r="H9" i="1"/>
</calcChain>
</file>

<file path=xl/sharedStrings.xml><?xml version="1.0" encoding="utf-8"?>
<sst xmlns="http://schemas.openxmlformats.org/spreadsheetml/2006/main" count="207" uniqueCount="49">
  <si>
    <t># File: A44.cost_efficiency_EUR.csv</t>
  </si>
  <si>
    <t># Title: Base costs and efficiencies of building technologies</t>
  </si>
  <si>
    <t># Units: lifetime in years; costs in 2020���; unitless for efficiency and rate</t>
  </si>
  <si>
    <t xml:space="preserve"># Column types: ccciiinnn </t>
  </si>
  <si>
    <t># ----------</t>
  </si>
  <si>
    <t>supplysector</t>
  </si>
  <si>
    <t>subsector</t>
  </si>
  <si>
    <t>technology</t>
  </si>
  <si>
    <t>installed cost</t>
  </si>
  <si>
    <t>lifetime</t>
  </si>
  <si>
    <t>O&amp;M cost</t>
  </si>
  <si>
    <t>efficiency</t>
  </si>
  <si>
    <t>UEC</t>
  </si>
  <si>
    <t>shutdown.rate</t>
  </si>
  <si>
    <t>resid heating modern EUR</t>
  </si>
  <si>
    <t>biomass</t>
  </si>
  <si>
    <t>resid heating coal EUR</t>
  </si>
  <si>
    <t>coal</t>
  </si>
  <si>
    <t>gas</t>
  </si>
  <si>
    <t>hydrogen</t>
  </si>
  <si>
    <t>electricity</t>
  </si>
  <si>
    <t>refined liquids</t>
  </si>
  <si>
    <t>district heat</t>
  </si>
  <si>
    <t>resid cooling modern EUR</t>
  </si>
  <si>
    <t>resid hot water modern EUR</t>
  </si>
  <si>
    <t>resid hot water coal EUR</t>
  </si>
  <si>
    <t>resid other appliance modern EUR</t>
  </si>
  <si>
    <t>resid cooking modern EUR</t>
  </si>
  <si>
    <t>resid cooking coal EUR</t>
  </si>
  <si>
    <t>resid others modern EUR</t>
  </si>
  <si>
    <t>resid others coal EUR</t>
  </si>
  <si>
    <t>comm heating EUR</t>
  </si>
  <si>
    <t>comm cooling EUR</t>
  </si>
  <si>
    <t>comm others EUR</t>
  </si>
  <si>
    <t>resistance</t>
  </si>
  <si>
    <t>air-air pump south</t>
  </si>
  <si>
    <t>air-air pump middle south</t>
  </si>
  <si>
    <t>air-air pump middle north</t>
  </si>
  <si>
    <t>air-air pump north</t>
  </si>
  <si>
    <t>air-water pump south</t>
  </si>
  <si>
    <t>air-water pump middle south</t>
  </si>
  <si>
    <t>air-water pump middle north</t>
  </si>
  <si>
    <t>air-water pump north</t>
  </si>
  <si>
    <t>geo-water pump</t>
  </si>
  <si>
    <t>solar thermal</t>
  </si>
  <si>
    <t>water heat pump</t>
  </si>
  <si>
    <t># Comments: UEC = unit energy consumption. Before efficiency correction e.g. 60 units useful energy for heating devices</t>
  </si>
  <si>
    <t>renewable</t>
  </si>
  <si>
    <t>heat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</si>
</sst>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" fontId="18" fillId="0" borderId="10" xfId="0" applyNumberFormat="1" applyFont="1" applyBorder="1"/>
    <xf numFmtId="0" fontId="18" fillId="0" borderId="0" xfId="0" applyFont="1" applyBorder="1" applyAlignment="1">
      <alignment vertical="center"/>
    </xf>
    <xf numFmtId="1" fontId="18" fillId="0" borderId="0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A28" workbookViewId="0">
      <selection activeCell="E51" sqref="E51:E60"/>
    </sheetView>
  </sheetViews>
  <sheetFormatPr defaultRowHeight="14.4" x14ac:dyDescent="0.3"/>
  <cols>
    <col min="1" max="1" width="30.33203125" customWidth="1"/>
    <col min="2" max="2" width="18.88671875" customWidth="1"/>
    <col min="3" max="3" width="24.33203125" customWidth="1"/>
    <col min="13" max="13" width="26.109375" customWidth="1"/>
  </cols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46</v>
      </c>
    </row>
    <row r="5" spans="1:11" x14ac:dyDescent="0.3">
      <c r="A5" t="s">
        <v>3</v>
      </c>
    </row>
    <row r="6" spans="1:11" x14ac:dyDescent="0.3">
      <c r="A6" t="s">
        <v>4</v>
      </c>
    </row>
    <row r="7" spans="1:11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</row>
    <row r="8" spans="1:11" x14ac:dyDescent="0.3">
      <c r="A8" t="s">
        <v>14</v>
      </c>
      <c r="B8" t="s">
        <v>15</v>
      </c>
      <c r="C8" t="s">
        <v>15</v>
      </c>
      <c r="D8">
        <f>(K8/K$10)*D$10</f>
        <v>2452.0958083832334</v>
      </c>
      <c r="E8">
        <v>15</v>
      </c>
      <c r="F8">
        <v>100</v>
      </c>
      <c r="G8">
        <v>0.72</v>
      </c>
      <c r="H8">
        <f t="shared" ref="H8:H13" si="0">60/G8</f>
        <v>83.333333333333343</v>
      </c>
      <c r="I8">
        <v>2.4E-2</v>
      </c>
      <c r="K8">
        <v>273</v>
      </c>
    </row>
    <row r="9" spans="1:11" x14ac:dyDescent="0.3">
      <c r="A9" t="s">
        <v>16</v>
      </c>
      <c r="B9" t="s">
        <v>17</v>
      </c>
      <c r="C9" t="s">
        <v>17</v>
      </c>
      <c r="D9">
        <f>(K9/K$10)*D$10</f>
        <v>2452.0958083832334</v>
      </c>
      <c r="E9">
        <v>15</v>
      </c>
      <c r="F9">
        <v>100</v>
      </c>
      <c r="G9">
        <v>0.72</v>
      </c>
      <c r="H9">
        <f t="shared" si="0"/>
        <v>83.333333333333343</v>
      </c>
      <c r="I9">
        <v>2.4E-2</v>
      </c>
      <c r="K9">
        <v>273</v>
      </c>
    </row>
    <row r="10" spans="1:11" x14ac:dyDescent="0.3">
      <c r="A10" t="s">
        <v>14</v>
      </c>
      <c r="B10" t="s">
        <v>18</v>
      </c>
      <c r="C10" t="s">
        <v>18</v>
      </c>
      <c r="D10">
        <v>1500</v>
      </c>
      <c r="E10">
        <v>20</v>
      </c>
      <c r="F10">
        <v>50</v>
      </c>
      <c r="G10">
        <v>0.79</v>
      </c>
      <c r="H10">
        <f t="shared" si="0"/>
        <v>75.949367088607588</v>
      </c>
      <c r="I10">
        <v>2.4E-2</v>
      </c>
      <c r="K10">
        <v>167</v>
      </c>
    </row>
    <row r="11" spans="1:11" x14ac:dyDescent="0.3">
      <c r="A11" t="s">
        <v>14</v>
      </c>
      <c r="B11" t="s">
        <v>18</v>
      </c>
      <c r="C11" t="s">
        <v>19</v>
      </c>
      <c r="D11">
        <v>1650</v>
      </c>
      <c r="E11">
        <v>20</v>
      </c>
      <c r="F11">
        <v>50</v>
      </c>
      <c r="G11">
        <v>0.79</v>
      </c>
      <c r="H11">
        <f t="shared" si="0"/>
        <v>75.949367088607588</v>
      </c>
      <c r="I11">
        <v>2.4E-2</v>
      </c>
    </row>
    <row r="12" spans="1:11" x14ac:dyDescent="0.3">
      <c r="A12" t="s">
        <v>14</v>
      </c>
      <c r="B12" t="s">
        <v>20</v>
      </c>
      <c r="C12" t="s">
        <v>34</v>
      </c>
      <c r="D12">
        <f>(K12/K$10)*D$10</f>
        <v>538.92215568862275</v>
      </c>
      <c r="E12">
        <v>20</v>
      </c>
      <c r="F12">
        <v>50</v>
      </c>
      <c r="G12">
        <v>0.99</v>
      </c>
      <c r="H12">
        <f t="shared" si="0"/>
        <v>60.606060606060609</v>
      </c>
      <c r="I12">
        <v>2.4E-2</v>
      </c>
      <c r="K12">
        <v>60</v>
      </c>
    </row>
    <row r="13" spans="1:11" x14ac:dyDescent="0.3">
      <c r="A13" t="s">
        <v>14</v>
      </c>
      <c r="B13" t="s">
        <v>20</v>
      </c>
      <c r="C13" t="s">
        <v>35</v>
      </c>
      <c r="D13">
        <f t="shared" ref="D13:D24" si="1">(K13/K$10)*D$10</f>
        <v>4203.5928143712572</v>
      </c>
      <c r="E13">
        <v>20</v>
      </c>
      <c r="F13">
        <v>100</v>
      </c>
      <c r="G13">
        <v>2.91</v>
      </c>
      <c r="H13">
        <f t="shared" si="0"/>
        <v>20.618556701030926</v>
      </c>
      <c r="I13">
        <v>2.4E-2</v>
      </c>
      <c r="K13">
        <v>468</v>
      </c>
    </row>
    <row r="14" spans="1:11" x14ac:dyDescent="0.3">
      <c r="A14" t="s">
        <v>14</v>
      </c>
      <c r="B14" t="s">
        <v>20</v>
      </c>
      <c r="C14" t="s">
        <v>36</v>
      </c>
      <c r="D14">
        <f t="shared" si="1"/>
        <v>4203.5928143712572</v>
      </c>
      <c r="E14">
        <v>20</v>
      </c>
      <c r="F14">
        <v>100</v>
      </c>
      <c r="G14">
        <v>2.61</v>
      </c>
      <c r="H14">
        <f t="shared" ref="H14:H22" si="2">60/G14</f>
        <v>22.988505747126439</v>
      </c>
      <c r="I14">
        <v>2.4E-2</v>
      </c>
      <c r="K14">
        <v>468</v>
      </c>
    </row>
    <row r="15" spans="1:11" x14ac:dyDescent="0.3">
      <c r="A15" t="s">
        <v>14</v>
      </c>
      <c r="B15" t="s">
        <v>20</v>
      </c>
      <c r="C15" t="s">
        <v>37</v>
      </c>
      <c r="D15">
        <f t="shared" si="1"/>
        <v>4203.5928143712572</v>
      </c>
      <c r="E15">
        <v>20</v>
      </c>
      <c r="F15">
        <v>100</v>
      </c>
      <c r="G15">
        <v>2.37</v>
      </c>
      <c r="H15">
        <f t="shared" si="2"/>
        <v>25.316455696202532</v>
      </c>
      <c r="I15">
        <v>2.4E-2</v>
      </c>
      <c r="K15">
        <v>468</v>
      </c>
    </row>
    <row r="16" spans="1:11" x14ac:dyDescent="0.3">
      <c r="A16" t="s">
        <v>14</v>
      </c>
      <c r="B16" t="s">
        <v>20</v>
      </c>
      <c r="C16" t="s">
        <v>38</v>
      </c>
      <c r="D16">
        <f t="shared" si="1"/>
        <v>4203.5928143712572</v>
      </c>
      <c r="E16">
        <v>20</v>
      </c>
      <c r="F16">
        <v>100</v>
      </c>
      <c r="G16">
        <v>2.17</v>
      </c>
      <c r="H16">
        <f t="shared" si="2"/>
        <v>27.649769585253456</v>
      </c>
      <c r="I16">
        <v>2.4E-2</v>
      </c>
      <c r="K16">
        <v>468</v>
      </c>
    </row>
    <row r="17" spans="1:14" x14ac:dyDescent="0.3">
      <c r="A17" t="s">
        <v>14</v>
      </c>
      <c r="B17" t="s">
        <v>45</v>
      </c>
      <c r="C17" t="s">
        <v>39</v>
      </c>
      <c r="D17">
        <f t="shared" si="1"/>
        <v>10526.946107784432</v>
      </c>
      <c r="E17">
        <v>20</v>
      </c>
      <c r="F17">
        <v>100</v>
      </c>
      <c r="G17">
        <v>4.0599999999999996</v>
      </c>
      <c r="H17">
        <f t="shared" si="2"/>
        <v>14.77832512315271</v>
      </c>
      <c r="I17">
        <v>2.4E-2</v>
      </c>
      <c r="K17">
        <v>1172</v>
      </c>
    </row>
    <row r="18" spans="1:14" x14ac:dyDescent="0.3">
      <c r="A18" t="s">
        <v>14</v>
      </c>
      <c r="B18" t="s">
        <v>45</v>
      </c>
      <c r="C18" t="s">
        <v>40</v>
      </c>
      <c r="D18">
        <f t="shared" si="1"/>
        <v>10526.946107784432</v>
      </c>
      <c r="E18">
        <v>20</v>
      </c>
      <c r="F18">
        <v>100</v>
      </c>
      <c r="G18">
        <v>3.64</v>
      </c>
      <c r="H18">
        <f t="shared" si="2"/>
        <v>16.483516483516482</v>
      </c>
      <c r="I18">
        <v>2.4E-2</v>
      </c>
      <c r="K18">
        <v>1172</v>
      </c>
    </row>
    <row r="19" spans="1:14" x14ac:dyDescent="0.3">
      <c r="A19" t="s">
        <v>14</v>
      </c>
      <c r="B19" t="s">
        <v>45</v>
      </c>
      <c r="C19" t="s">
        <v>41</v>
      </c>
      <c r="D19">
        <f t="shared" si="1"/>
        <v>10526.946107784432</v>
      </c>
      <c r="E19">
        <v>20</v>
      </c>
      <c r="F19">
        <v>100</v>
      </c>
      <c r="G19">
        <v>3.32</v>
      </c>
      <c r="H19">
        <f t="shared" si="2"/>
        <v>18.072289156626507</v>
      </c>
      <c r="I19">
        <v>2.4E-2</v>
      </c>
      <c r="K19">
        <v>1172</v>
      </c>
    </row>
    <row r="20" spans="1:14" x14ac:dyDescent="0.3">
      <c r="A20" t="s">
        <v>14</v>
      </c>
      <c r="B20" t="s">
        <v>45</v>
      </c>
      <c r="C20" t="s">
        <v>42</v>
      </c>
      <c r="D20">
        <f t="shared" si="1"/>
        <v>10526.946107784432</v>
      </c>
      <c r="E20">
        <v>20</v>
      </c>
      <c r="F20">
        <v>100</v>
      </c>
      <c r="G20">
        <v>3.03</v>
      </c>
      <c r="H20">
        <f t="shared" si="2"/>
        <v>19.801980198019802</v>
      </c>
      <c r="I20">
        <v>2.4E-2</v>
      </c>
      <c r="K20">
        <v>1172</v>
      </c>
    </row>
    <row r="21" spans="1:14" x14ac:dyDescent="0.3">
      <c r="A21" t="s">
        <v>14</v>
      </c>
      <c r="B21" t="s">
        <v>45</v>
      </c>
      <c r="C21" t="s">
        <v>43</v>
      </c>
      <c r="D21">
        <f t="shared" si="1"/>
        <v>12179.640718562874</v>
      </c>
      <c r="E21">
        <v>20</v>
      </c>
      <c r="F21">
        <v>100</v>
      </c>
      <c r="G21">
        <v>3.6</v>
      </c>
      <c r="H21">
        <f t="shared" si="2"/>
        <v>16.666666666666668</v>
      </c>
      <c r="I21">
        <v>2.4E-2</v>
      </c>
      <c r="K21">
        <v>1356</v>
      </c>
    </row>
    <row r="22" spans="1:14" x14ac:dyDescent="0.3">
      <c r="A22" t="s">
        <v>14</v>
      </c>
      <c r="B22" t="s">
        <v>45</v>
      </c>
      <c r="C22" t="s">
        <v>44</v>
      </c>
      <c r="D22">
        <f t="shared" si="1"/>
        <v>11227.54491017964</v>
      </c>
      <c r="E22">
        <v>25</v>
      </c>
      <c r="F22">
        <v>100</v>
      </c>
      <c r="G22">
        <v>0.57999999999999996</v>
      </c>
      <c r="H22">
        <f t="shared" si="2"/>
        <v>103.44827586206897</v>
      </c>
      <c r="I22">
        <v>2.4E-2</v>
      </c>
      <c r="K22">
        <v>1250</v>
      </c>
    </row>
    <row r="23" spans="1:14" x14ac:dyDescent="0.3">
      <c r="A23" t="s">
        <v>14</v>
      </c>
      <c r="B23" t="s">
        <v>21</v>
      </c>
      <c r="C23" t="s">
        <v>21</v>
      </c>
      <c r="D23">
        <f t="shared" si="1"/>
        <v>1553.8922155688624</v>
      </c>
      <c r="E23">
        <v>15</v>
      </c>
      <c r="F23">
        <v>100</v>
      </c>
      <c r="G23">
        <v>0.77</v>
      </c>
      <c r="H23">
        <f>60/G23</f>
        <v>77.922077922077918</v>
      </c>
      <c r="I23">
        <v>2.4E-2</v>
      </c>
      <c r="K23">
        <v>173</v>
      </c>
    </row>
    <row r="24" spans="1:14" x14ac:dyDescent="0.3">
      <c r="A24" t="s">
        <v>14</v>
      </c>
      <c r="B24" t="s">
        <v>22</v>
      </c>
      <c r="C24" t="s">
        <v>22</v>
      </c>
      <c r="D24">
        <f t="shared" si="1"/>
        <v>961.07784431137736</v>
      </c>
      <c r="E24">
        <v>20</v>
      </c>
      <c r="F24">
        <v>20</v>
      </c>
      <c r="G24">
        <v>0.72</v>
      </c>
      <c r="H24">
        <f>60/G24</f>
        <v>83.333333333333343</v>
      </c>
      <c r="I24">
        <v>2.4E-2</v>
      </c>
      <c r="K24">
        <v>107</v>
      </c>
    </row>
    <row r="25" spans="1:14" x14ac:dyDescent="0.3">
      <c r="A25" t="s">
        <v>23</v>
      </c>
      <c r="B25" t="s">
        <v>20</v>
      </c>
      <c r="C25" t="s">
        <v>20</v>
      </c>
      <c r="D25">
        <v>2000</v>
      </c>
      <c r="E25">
        <v>15</v>
      </c>
      <c r="F25">
        <v>100</v>
      </c>
      <c r="G25">
        <v>2.63</v>
      </c>
      <c r="H25">
        <v>7.0091999999999999</v>
      </c>
      <c r="I25">
        <v>3.4000000000000002E-2</v>
      </c>
    </row>
    <row r="26" spans="1:14" x14ac:dyDescent="0.3">
      <c r="A26" t="s">
        <v>23</v>
      </c>
      <c r="B26" t="s">
        <v>18</v>
      </c>
      <c r="C26" t="s">
        <v>18</v>
      </c>
      <c r="D26">
        <v>2500</v>
      </c>
      <c r="E26">
        <v>15</v>
      </c>
      <c r="F26">
        <v>100</v>
      </c>
      <c r="G26">
        <v>0.83</v>
      </c>
      <c r="H26">
        <v>15.662650599999999</v>
      </c>
      <c r="I26">
        <v>3.4000000000000002E-2</v>
      </c>
    </row>
    <row r="27" spans="1:14" x14ac:dyDescent="0.3">
      <c r="A27" t="s">
        <v>25</v>
      </c>
      <c r="B27" t="s">
        <v>17</v>
      </c>
      <c r="C27" t="s">
        <v>17</v>
      </c>
      <c r="D27">
        <v>750</v>
      </c>
      <c r="E27">
        <v>15</v>
      </c>
      <c r="F27">
        <v>75</v>
      </c>
      <c r="G27">
        <v>0.5</v>
      </c>
      <c r="H27">
        <f>42/G27</f>
        <v>84</v>
      </c>
      <c r="I27">
        <v>2.7E-2</v>
      </c>
      <c r="M27" s="2"/>
      <c r="N27" s="3"/>
    </row>
    <row r="28" spans="1:14" x14ac:dyDescent="0.3">
      <c r="A28" t="s">
        <v>24</v>
      </c>
      <c r="B28" t="s">
        <v>18</v>
      </c>
      <c r="C28" t="s">
        <v>18</v>
      </c>
      <c r="D28">
        <v>1500</v>
      </c>
      <c r="E28">
        <v>15</v>
      </c>
      <c r="F28">
        <v>45</v>
      </c>
      <c r="G28">
        <v>0.77</v>
      </c>
      <c r="H28">
        <f>42/G28</f>
        <v>54.545454545454547</v>
      </c>
      <c r="I28">
        <v>2.7E-2</v>
      </c>
      <c r="K28" s="1">
        <v>188.4</v>
      </c>
      <c r="M28" s="2"/>
      <c r="N28" s="3"/>
    </row>
    <row r="29" spans="1:14" x14ac:dyDescent="0.3">
      <c r="A29" t="s">
        <v>24</v>
      </c>
      <c r="B29" t="s">
        <v>20</v>
      </c>
      <c r="C29" t="s">
        <v>20</v>
      </c>
      <c r="D29">
        <f>(K29/K$28)*D$28</f>
        <v>875.79617834394901</v>
      </c>
      <c r="E29">
        <v>15</v>
      </c>
      <c r="F29">
        <v>50</v>
      </c>
      <c r="G29">
        <v>0.9</v>
      </c>
      <c r="H29">
        <f t="shared" ref="H29:H33" si="3">42/G29</f>
        <v>46.666666666666664</v>
      </c>
      <c r="I29">
        <v>2.7E-2</v>
      </c>
      <c r="K29" s="1">
        <v>110</v>
      </c>
      <c r="M29" s="2"/>
      <c r="N29" s="3"/>
    </row>
    <row r="30" spans="1:14" x14ac:dyDescent="0.3">
      <c r="A30" t="s">
        <v>24</v>
      </c>
      <c r="B30" t="s">
        <v>21</v>
      </c>
      <c r="C30" t="s">
        <v>21</v>
      </c>
      <c r="D30">
        <f>(K30/K$28)*D$28</f>
        <v>2720.276008492569</v>
      </c>
      <c r="E30">
        <v>15</v>
      </c>
      <c r="F30">
        <v>75</v>
      </c>
      <c r="G30">
        <v>0.7</v>
      </c>
      <c r="H30">
        <f t="shared" si="3"/>
        <v>60.000000000000007</v>
      </c>
      <c r="I30">
        <v>2.7E-2</v>
      </c>
      <c r="K30" s="1">
        <v>341.66666666666669</v>
      </c>
      <c r="M30" s="2"/>
      <c r="N30" s="3"/>
    </row>
    <row r="31" spans="1:14" x14ac:dyDescent="0.3">
      <c r="A31" t="s">
        <v>24</v>
      </c>
      <c r="B31" t="s">
        <v>22</v>
      </c>
      <c r="C31" t="s">
        <v>22</v>
      </c>
      <c r="D31">
        <f>(K31/K$28)*D$28</f>
        <v>676.75159235668787</v>
      </c>
      <c r="E31">
        <v>20</v>
      </c>
      <c r="F31">
        <v>20</v>
      </c>
      <c r="G31">
        <v>0.72</v>
      </c>
      <c r="H31">
        <f t="shared" si="3"/>
        <v>58.333333333333336</v>
      </c>
      <c r="I31">
        <v>2.4E-2</v>
      </c>
      <c r="K31" s="1">
        <v>85</v>
      </c>
      <c r="M31" s="2"/>
      <c r="N31" s="3"/>
    </row>
    <row r="32" spans="1:14" x14ac:dyDescent="0.3">
      <c r="A32" t="s">
        <v>24</v>
      </c>
      <c r="B32" t="s">
        <v>47</v>
      </c>
      <c r="C32" t="s">
        <v>48</v>
      </c>
      <c r="D32">
        <f>(K32/K$28)*D$28</f>
        <v>2527.8662420382166</v>
      </c>
      <c r="E32">
        <v>20</v>
      </c>
      <c r="F32">
        <v>90</v>
      </c>
      <c r="G32">
        <v>2.4</v>
      </c>
      <c r="H32">
        <f t="shared" si="3"/>
        <v>17.5</v>
      </c>
      <c r="I32">
        <v>2.7E-2</v>
      </c>
      <c r="K32" s="1">
        <v>317.5</v>
      </c>
      <c r="M32" s="2"/>
      <c r="N32" s="3"/>
    </row>
    <row r="33" spans="1:14" x14ac:dyDescent="0.3">
      <c r="A33" t="s">
        <v>24</v>
      </c>
      <c r="B33" t="s">
        <v>47</v>
      </c>
      <c r="C33" t="s">
        <v>44</v>
      </c>
      <c r="D33">
        <f>(K33/K$28)*D$28</f>
        <v>2022.2929936305732</v>
      </c>
      <c r="E33">
        <v>20</v>
      </c>
      <c r="F33">
        <v>90</v>
      </c>
      <c r="G33">
        <v>0.57999999999999996</v>
      </c>
      <c r="H33">
        <f t="shared" si="3"/>
        <v>72.413793103448285</v>
      </c>
      <c r="I33">
        <v>2.7E-2</v>
      </c>
      <c r="K33" s="1">
        <v>254</v>
      </c>
      <c r="M33" s="2"/>
      <c r="N33" s="3"/>
    </row>
    <row r="34" spans="1:14" x14ac:dyDescent="0.3">
      <c r="A34" t="s">
        <v>26</v>
      </c>
      <c r="B34" t="s">
        <v>20</v>
      </c>
      <c r="C34" t="s">
        <v>20</v>
      </c>
      <c r="D34">
        <v>2000</v>
      </c>
      <c r="E34">
        <v>15</v>
      </c>
      <c r="F34">
        <v>50</v>
      </c>
      <c r="G34">
        <v>0.95</v>
      </c>
      <c r="H34">
        <v>50</v>
      </c>
      <c r="I34">
        <v>2.7E-2</v>
      </c>
      <c r="M34" s="2"/>
      <c r="N34" s="3"/>
    </row>
    <row r="35" spans="1:14" x14ac:dyDescent="0.3">
      <c r="A35" t="s">
        <v>27</v>
      </c>
      <c r="B35" t="s">
        <v>15</v>
      </c>
      <c r="C35" t="s">
        <v>15</v>
      </c>
      <c r="D35">
        <v>2000</v>
      </c>
      <c r="E35">
        <v>15</v>
      </c>
      <c r="F35">
        <v>150</v>
      </c>
      <c r="G35">
        <v>0.4</v>
      </c>
      <c r="H35">
        <v>260</v>
      </c>
      <c r="I35">
        <v>2.4E-2</v>
      </c>
    </row>
    <row r="36" spans="1:14" x14ac:dyDescent="0.3">
      <c r="A36" t="s">
        <v>28</v>
      </c>
      <c r="B36" t="s">
        <v>17</v>
      </c>
      <c r="C36" t="s">
        <v>17</v>
      </c>
      <c r="D36">
        <v>750</v>
      </c>
      <c r="E36">
        <v>15</v>
      </c>
      <c r="F36">
        <v>75</v>
      </c>
      <c r="G36">
        <v>0.5</v>
      </c>
      <c r="H36">
        <v>100</v>
      </c>
      <c r="I36">
        <v>2.7E-2</v>
      </c>
    </row>
    <row r="37" spans="1:14" x14ac:dyDescent="0.3">
      <c r="A37" t="s">
        <v>27</v>
      </c>
      <c r="B37" t="s">
        <v>20</v>
      </c>
      <c r="C37" t="s">
        <v>20</v>
      </c>
      <c r="D37">
        <v>2000</v>
      </c>
      <c r="E37">
        <v>15</v>
      </c>
      <c r="F37">
        <v>50</v>
      </c>
      <c r="G37">
        <v>0.95</v>
      </c>
      <c r="H37">
        <v>50</v>
      </c>
      <c r="I37">
        <v>2.7E-2</v>
      </c>
    </row>
    <row r="38" spans="1:14" x14ac:dyDescent="0.3">
      <c r="A38" t="s">
        <v>27</v>
      </c>
      <c r="B38" t="s">
        <v>18</v>
      </c>
      <c r="C38" t="s">
        <v>18</v>
      </c>
      <c r="D38">
        <v>1500</v>
      </c>
      <c r="E38">
        <v>15</v>
      </c>
      <c r="F38">
        <v>45</v>
      </c>
      <c r="G38">
        <v>0.7</v>
      </c>
      <c r="H38">
        <v>60</v>
      </c>
      <c r="I38">
        <v>2.7E-2</v>
      </c>
    </row>
    <row r="39" spans="1:14" x14ac:dyDescent="0.3">
      <c r="A39" t="s">
        <v>27</v>
      </c>
      <c r="B39" t="s">
        <v>21</v>
      </c>
      <c r="C39" t="s">
        <v>21</v>
      </c>
      <c r="D39">
        <v>1500</v>
      </c>
      <c r="E39">
        <v>10</v>
      </c>
      <c r="F39">
        <v>75</v>
      </c>
      <c r="G39">
        <v>0.7</v>
      </c>
      <c r="H39">
        <v>60</v>
      </c>
      <c r="I39">
        <v>2.7E-2</v>
      </c>
    </row>
    <row r="40" spans="1:14" x14ac:dyDescent="0.3">
      <c r="A40" t="s">
        <v>29</v>
      </c>
      <c r="B40" t="s">
        <v>15</v>
      </c>
      <c r="C40" t="s">
        <v>15</v>
      </c>
      <c r="D40">
        <v>1000</v>
      </c>
      <c r="E40">
        <v>10</v>
      </c>
      <c r="F40">
        <v>25</v>
      </c>
      <c r="G40">
        <v>0.3</v>
      </c>
      <c r="H40">
        <v>66.666666669999998</v>
      </c>
      <c r="I40">
        <v>2.9000000000000001E-2</v>
      </c>
    </row>
    <row r="41" spans="1:14" x14ac:dyDescent="0.3">
      <c r="A41" t="s">
        <v>30</v>
      </c>
      <c r="B41" t="s">
        <v>17</v>
      </c>
      <c r="C41" t="s">
        <v>17</v>
      </c>
      <c r="D41">
        <v>1000</v>
      </c>
      <c r="E41">
        <v>10</v>
      </c>
      <c r="F41">
        <v>25</v>
      </c>
      <c r="G41">
        <v>0.4</v>
      </c>
      <c r="H41">
        <v>75</v>
      </c>
      <c r="I41">
        <v>2.9000000000000001E-2</v>
      </c>
    </row>
    <row r="42" spans="1:14" x14ac:dyDescent="0.3">
      <c r="A42" t="s">
        <v>29</v>
      </c>
      <c r="B42" t="s">
        <v>18</v>
      </c>
      <c r="C42" t="s">
        <v>18</v>
      </c>
      <c r="D42">
        <v>1500</v>
      </c>
      <c r="E42">
        <v>10</v>
      </c>
      <c r="F42">
        <v>20</v>
      </c>
      <c r="G42">
        <v>0.6</v>
      </c>
      <c r="H42">
        <v>50</v>
      </c>
      <c r="I42">
        <v>2.9000000000000001E-2</v>
      </c>
    </row>
    <row r="43" spans="1:14" x14ac:dyDescent="0.3">
      <c r="A43" t="s">
        <v>29</v>
      </c>
      <c r="B43" t="s">
        <v>18</v>
      </c>
      <c r="C43" t="s">
        <v>19</v>
      </c>
      <c r="D43">
        <v>1650</v>
      </c>
      <c r="E43">
        <v>10</v>
      </c>
      <c r="F43">
        <v>20</v>
      </c>
      <c r="G43">
        <v>0.6</v>
      </c>
      <c r="H43">
        <v>50</v>
      </c>
      <c r="I43">
        <v>2.9000000000000001E-2</v>
      </c>
    </row>
    <row r="44" spans="1:14" x14ac:dyDescent="0.3">
      <c r="A44" t="s">
        <v>29</v>
      </c>
      <c r="B44" t="s">
        <v>20</v>
      </c>
      <c r="C44" t="s">
        <v>20</v>
      </c>
      <c r="D44">
        <v>1500</v>
      </c>
      <c r="E44">
        <v>10</v>
      </c>
      <c r="F44">
        <v>20</v>
      </c>
      <c r="G44">
        <v>0.95</v>
      </c>
      <c r="H44">
        <v>36.842105259999997</v>
      </c>
      <c r="I44">
        <v>2.9000000000000001E-2</v>
      </c>
    </row>
    <row r="45" spans="1:14" x14ac:dyDescent="0.3">
      <c r="A45" t="s">
        <v>29</v>
      </c>
      <c r="B45" t="s">
        <v>21</v>
      </c>
      <c r="C45" t="s">
        <v>21</v>
      </c>
      <c r="D45">
        <v>1500</v>
      </c>
      <c r="E45">
        <v>10</v>
      </c>
      <c r="F45">
        <v>50</v>
      </c>
      <c r="G45">
        <v>0.6</v>
      </c>
      <c r="H45">
        <v>50</v>
      </c>
      <c r="I45">
        <v>2.9000000000000001E-2</v>
      </c>
    </row>
    <row r="46" spans="1:14" x14ac:dyDescent="0.3">
      <c r="A46" t="s">
        <v>31</v>
      </c>
      <c r="B46" t="s">
        <v>15</v>
      </c>
      <c r="C46" t="s">
        <v>15</v>
      </c>
      <c r="D46">
        <v>2000</v>
      </c>
      <c r="E46">
        <v>20</v>
      </c>
      <c r="F46">
        <v>200</v>
      </c>
      <c r="G46">
        <v>0.4</v>
      </c>
      <c r="H46">
        <f>180/G46</f>
        <v>450</v>
      </c>
      <c r="I46">
        <v>2.4E-2</v>
      </c>
    </row>
    <row r="47" spans="1:14" x14ac:dyDescent="0.3">
      <c r="A47" t="s">
        <v>31</v>
      </c>
      <c r="B47" t="s">
        <v>17</v>
      </c>
      <c r="C47" t="s">
        <v>17</v>
      </c>
      <c r="D47">
        <v>2000</v>
      </c>
      <c r="E47">
        <v>20</v>
      </c>
      <c r="F47">
        <v>200</v>
      </c>
      <c r="G47">
        <v>0.5</v>
      </c>
      <c r="H47">
        <f t="shared" ref="H47:H62" si="4">180/G47</f>
        <v>360</v>
      </c>
      <c r="I47">
        <v>2.4E-2</v>
      </c>
    </row>
    <row r="48" spans="1:14" x14ac:dyDescent="0.3">
      <c r="A48" t="s">
        <v>31</v>
      </c>
      <c r="B48" t="s">
        <v>18</v>
      </c>
      <c r="C48" t="s">
        <v>18</v>
      </c>
      <c r="D48">
        <v>5000</v>
      </c>
      <c r="E48">
        <v>25</v>
      </c>
      <c r="F48">
        <v>200</v>
      </c>
      <c r="G48">
        <v>0.79</v>
      </c>
      <c r="H48">
        <f t="shared" si="4"/>
        <v>227.84810126582278</v>
      </c>
      <c r="I48">
        <v>2.4E-2</v>
      </c>
      <c r="K48" s="1">
        <v>125.08928571428571</v>
      </c>
    </row>
    <row r="49" spans="1:11" x14ac:dyDescent="0.3">
      <c r="A49" t="s">
        <v>31</v>
      </c>
      <c r="B49" t="s">
        <v>18</v>
      </c>
      <c r="C49" t="s">
        <v>19</v>
      </c>
      <c r="D49">
        <v>5500</v>
      </c>
      <c r="E49">
        <v>25</v>
      </c>
      <c r="F49">
        <v>200</v>
      </c>
      <c r="G49">
        <v>0.79</v>
      </c>
      <c r="H49">
        <f t="shared" si="4"/>
        <v>227.84810126582278</v>
      </c>
      <c r="I49">
        <v>2.4E-2</v>
      </c>
    </row>
    <row r="50" spans="1:11" x14ac:dyDescent="0.3">
      <c r="A50" t="s">
        <v>31</v>
      </c>
      <c r="B50" t="s">
        <v>20</v>
      </c>
      <c r="C50" t="s">
        <v>34</v>
      </c>
      <c r="D50">
        <v>5000</v>
      </c>
      <c r="E50">
        <v>25</v>
      </c>
      <c r="F50">
        <v>200</v>
      </c>
      <c r="G50">
        <v>0.95</v>
      </c>
      <c r="H50">
        <f t="shared" si="4"/>
        <v>189.47368421052633</v>
      </c>
      <c r="I50">
        <v>2.4E-2</v>
      </c>
      <c r="K50">
        <v>45</v>
      </c>
    </row>
    <row r="51" spans="1:11" x14ac:dyDescent="0.3">
      <c r="A51" t="s">
        <v>31</v>
      </c>
      <c r="B51" t="s">
        <v>20</v>
      </c>
      <c r="C51" t="s">
        <v>35</v>
      </c>
      <c r="D51">
        <f>(K51/K$48)*D$48</f>
        <v>13070.66381156317</v>
      </c>
      <c r="E51">
        <v>25</v>
      </c>
      <c r="F51">
        <v>400</v>
      </c>
      <c r="G51">
        <v>2.9074617945756889</v>
      </c>
      <c r="H51">
        <f t="shared" si="4"/>
        <v>61.90966991752645</v>
      </c>
      <c r="I51">
        <v>2.4E-2</v>
      </c>
      <c r="K51">
        <v>327</v>
      </c>
    </row>
    <row r="52" spans="1:11" x14ac:dyDescent="0.3">
      <c r="A52" t="s">
        <v>31</v>
      </c>
      <c r="B52" t="s">
        <v>20</v>
      </c>
      <c r="C52" t="s">
        <v>36</v>
      </c>
      <c r="D52">
        <f t="shared" ref="D52:D62" si="5">(K52/K$48)*D$48</f>
        <v>13070.66381156317</v>
      </c>
      <c r="E52">
        <v>25</v>
      </c>
      <c r="F52">
        <v>400</v>
      </c>
      <c r="G52">
        <v>2.6063559872710966</v>
      </c>
      <c r="H52">
        <f t="shared" si="4"/>
        <v>69.061939688623795</v>
      </c>
      <c r="I52">
        <v>2.4E-2</v>
      </c>
      <c r="K52">
        <v>327</v>
      </c>
    </row>
    <row r="53" spans="1:11" x14ac:dyDescent="0.3">
      <c r="A53" t="s">
        <v>31</v>
      </c>
      <c r="B53" t="s">
        <v>20</v>
      </c>
      <c r="C53" t="s">
        <v>37</v>
      </c>
      <c r="D53">
        <f t="shared" si="5"/>
        <v>13070.66381156317</v>
      </c>
      <c r="E53">
        <v>25</v>
      </c>
      <c r="F53">
        <v>400</v>
      </c>
      <c r="G53">
        <v>2.3747591123898779</v>
      </c>
      <c r="H53">
        <f t="shared" si="4"/>
        <v>75.797161514564749</v>
      </c>
      <c r="I53">
        <v>2.4E-2</v>
      </c>
      <c r="K53">
        <v>327</v>
      </c>
    </row>
    <row r="54" spans="1:11" x14ac:dyDescent="0.3">
      <c r="A54" t="s">
        <v>31</v>
      </c>
      <c r="B54" t="s">
        <v>20</v>
      </c>
      <c r="C54" t="s">
        <v>38</v>
      </c>
      <c r="D54">
        <f t="shared" si="5"/>
        <v>13070.66381156317</v>
      </c>
      <c r="E54">
        <v>25</v>
      </c>
      <c r="F54">
        <v>400</v>
      </c>
      <c r="G54">
        <v>2.1666666666666665</v>
      </c>
      <c r="H54">
        <f t="shared" si="4"/>
        <v>83.07692307692308</v>
      </c>
      <c r="I54">
        <v>2.4E-2</v>
      </c>
      <c r="K54">
        <v>327</v>
      </c>
    </row>
    <row r="55" spans="1:11" x14ac:dyDescent="0.3">
      <c r="A55" t="s">
        <v>31</v>
      </c>
      <c r="B55" t="s">
        <v>45</v>
      </c>
      <c r="C55" t="s">
        <v>39</v>
      </c>
      <c r="D55">
        <f t="shared" si="5"/>
        <v>24702.355460385439</v>
      </c>
      <c r="E55">
        <v>25</v>
      </c>
      <c r="F55">
        <v>400</v>
      </c>
      <c r="G55">
        <v>3.8915257865859223</v>
      </c>
      <c r="H55">
        <f t="shared" si="4"/>
        <v>46.254351087807116</v>
      </c>
      <c r="I55">
        <v>2.4E-2</v>
      </c>
      <c r="K55">
        <v>618</v>
      </c>
    </row>
    <row r="56" spans="1:11" x14ac:dyDescent="0.3">
      <c r="A56" t="s">
        <v>31</v>
      </c>
      <c r="B56" t="s">
        <v>45</v>
      </c>
      <c r="C56" t="s">
        <v>40</v>
      </c>
      <c r="D56">
        <f t="shared" si="5"/>
        <v>24702.355460385439</v>
      </c>
      <c r="E56">
        <v>25</v>
      </c>
      <c r="F56">
        <v>400</v>
      </c>
      <c r="G56">
        <v>3.4885072445013141</v>
      </c>
      <c r="H56">
        <f t="shared" si="4"/>
        <v>51.598000916787889</v>
      </c>
      <c r="I56">
        <v>2.4E-2</v>
      </c>
      <c r="K56">
        <v>618</v>
      </c>
    </row>
    <row r="57" spans="1:11" x14ac:dyDescent="0.3">
      <c r="A57" t="s">
        <v>31</v>
      </c>
      <c r="B57" t="s">
        <v>45</v>
      </c>
      <c r="C57" t="s">
        <v>41</v>
      </c>
      <c r="D57">
        <f t="shared" si="5"/>
        <v>24702.355460385439</v>
      </c>
      <c r="E57">
        <v>25</v>
      </c>
      <c r="F57">
        <v>400</v>
      </c>
      <c r="G57">
        <v>3.178523735044914</v>
      </c>
      <c r="H57">
        <f t="shared" si="4"/>
        <v>56.630063200536874</v>
      </c>
      <c r="I57">
        <v>2.4E-2</v>
      </c>
      <c r="K57">
        <v>618</v>
      </c>
    </row>
    <row r="58" spans="1:11" x14ac:dyDescent="0.3">
      <c r="A58" t="s">
        <v>31</v>
      </c>
      <c r="B58" t="s">
        <v>45</v>
      </c>
      <c r="C58" t="s">
        <v>42</v>
      </c>
      <c r="D58">
        <f t="shared" si="5"/>
        <v>24702.355460385439</v>
      </c>
      <c r="E58">
        <v>25</v>
      </c>
      <c r="F58">
        <v>400</v>
      </c>
      <c r="G58">
        <v>2.9</v>
      </c>
      <c r="H58">
        <f t="shared" si="4"/>
        <v>62.068965517241381</v>
      </c>
      <c r="I58">
        <v>2.4E-2</v>
      </c>
      <c r="K58">
        <v>618</v>
      </c>
    </row>
    <row r="59" spans="1:11" x14ac:dyDescent="0.3">
      <c r="A59" t="s">
        <v>31</v>
      </c>
      <c r="B59" t="s">
        <v>45</v>
      </c>
      <c r="C59" t="s">
        <v>43</v>
      </c>
      <c r="D59">
        <f t="shared" si="5"/>
        <v>37932.905067808708</v>
      </c>
      <c r="E59">
        <v>25</v>
      </c>
      <c r="F59">
        <v>400</v>
      </c>
      <c r="G59">
        <v>3.6</v>
      </c>
      <c r="H59">
        <f t="shared" si="4"/>
        <v>50</v>
      </c>
      <c r="I59">
        <v>2.4E-2</v>
      </c>
      <c r="K59">
        <v>949</v>
      </c>
    </row>
    <row r="60" spans="1:11" x14ac:dyDescent="0.3">
      <c r="A60" t="s">
        <v>31</v>
      </c>
      <c r="B60" t="s">
        <v>45</v>
      </c>
      <c r="C60" t="s">
        <v>44</v>
      </c>
      <c r="D60">
        <f t="shared" si="5"/>
        <v>34910.961035158034</v>
      </c>
      <c r="E60">
        <v>25</v>
      </c>
      <c r="F60">
        <v>400</v>
      </c>
      <c r="G60">
        <v>0.57999999999999996</v>
      </c>
      <c r="H60">
        <f t="shared" si="4"/>
        <v>310.34482758620692</v>
      </c>
      <c r="I60">
        <v>2.4E-2</v>
      </c>
      <c r="K60">
        <f>(K$53/K$15)*K22</f>
        <v>873.3974358974358</v>
      </c>
    </row>
    <row r="61" spans="1:11" x14ac:dyDescent="0.3">
      <c r="A61" t="s">
        <v>31</v>
      </c>
      <c r="B61" t="s">
        <v>21</v>
      </c>
      <c r="C61" t="s">
        <v>21</v>
      </c>
      <c r="D61">
        <f t="shared" si="5"/>
        <v>5179.640718562875</v>
      </c>
      <c r="E61">
        <v>25</v>
      </c>
      <c r="F61">
        <v>200</v>
      </c>
      <c r="G61">
        <v>0.77</v>
      </c>
      <c r="H61">
        <f t="shared" si="4"/>
        <v>233.76623376623377</v>
      </c>
      <c r="I61">
        <v>2.4E-2</v>
      </c>
      <c r="K61">
        <f>(K48/K10)*K23</f>
        <v>129.5835115483319</v>
      </c>
    </row>
    <row r="62" spans="1:11" x14ac:dyDescent="0.3">
      <c r="A62" t="s">
        <v>31</v>
      </c>
      <c r="B62" t="s">
        <v>22</v>
      </c>
      <c r="C62" t="s">
        <v>22</v>
      </c>
      <c r="D62">
        <f t="shared" si="5"/>
        <v>3437.5446109921486</v>
      </c>
      <c r="E62">
        <v>20</v>
      </c>
      <c r="F62">
        <v>20</v>
      </c>
      <c r="G62">
        <v>0.72</v>
      </c>
      <c r="H62">
        <f t="shared" si="4"/>
        <v>250</v>
      </c>
      <c r="I62">
        <v>2.4E-2</v>
      </c>
      <c r="K62">
        <v>86</v>
      </c>
    </row>
    <row r="63" spans="1:11" x14ac:dyDescent="0.3">
      <c r="A63" t="s">
        <v>32</v>
      </c>
      <c r="B63" t="s">
        <v>18</v>
      </c>
      <c r="C63" t="s">
        <v>18</v>
      </c>
      <c r="D63">
        <v>4000</v>
      </c>
      <c r="E63">
        <v>15</v>
      </c>
      <c r="F63">
        <v>200</v>
      </c>
      <c r="G63">
        <v>0.83</v>
      </c>
      <c r="H63">
        <v>60.240963860000001</v>
      </c>
      <c r="I63">
        <v>3.4000000000000002E-2</v>
      </c>
    </row>
    <row r="64" spans="1:11" x14ac:dyDescent="0.3">
      <c r="A64" t="s">
        <v>32</v>
      </c>
      <c r="B64" t="s">
        <v>20</v>
      </c>
      <c r="C64" t="s">
        <v>20</v>
      </c>
      <c r="D64">
        <v>4450</v>
      </c>
      <c r="E64">
        <v>15</v>
      </c>
      <c r="F64">
        <v>153</v>
      </c>
      <c r="G64">
        <v>2.73</v>
      </c>
      <c r="H64">
        <v>35.045999999999999</v>
      </c>
      <c r="I64">
        <v>3.4000000000000002E-2</v>
      </c>
    </row>
    <row r="65" spans="1:9" x14ac:dyDescent="0.3">
      <c r="A65" t="s">
        <v>33</v>
      </c>
      <c r="B65" t="s">
        <v>15</v>
      </c>
      <c r="C65" t="s">
        <v>15</v>
      </c>
      <c r="D65">
        <v>2000</v>
      </c>
      <c r="E65">
        <v>10</v>
      </c>
      <c r="F65">
        <v>50</v>
      </c>
      <c r="G65">
        <v>0.3</v>
      </c>
      <c r="H65">
        <v>133.33333329999999</v>
      </c>
      <c r="I65">
        <v>2.9000000000000001E-2</v>
      </c>
    </row>
    <row r="66" spans="1:9" x14ac:dyDescent="0.3">
      <c r="A66" t="s">
        <v>33</v>
      </c>
      <c r="B66" t="s">
        <v>17</v>
      </c>
      <c r="C66" t="s">
        <v>17</v>
      </c>
      <c r="D66">
        <v>2000</v>
      </c>
      <c r="E66">
        <v>10</v>
      </c>
      <c r="F66">
        <v>50</v>
      </c>
      <c r="G66">
        <v>0.4</v>
      </c>
      <c r="H66">
        <v>150</v>
      </c>
      <c r="I66">
        <v>2.9000000000000001E-2</v>
      </c>
    </row>
    <row r="67" spans="1:9" x14ac:dyDescent="0.3">
      <c r="A67" t="s">
        <v>33</v>
      </c>
      <c r="B67" t="s">
        <v>18</v>
      </c>
      <c r="C67" t="s">
        <v>18</v>
      </c>
      <c r="D67">
        <v>3000</v>
      </c>
      <c r="E67">
        <v>10</v>
      </c>
      <c r="F67">
        <v>100</v>
      </c>
      <c r="G67">
        <v>0.6</v>
      </c>
      <c r="H67">
        <v>108.33333330000001</v>
      </c>
      <c r="I67">
        <v>2.9000000000000001E-2</v>
      </c>
    </row>
    <row r="68" spans="1:9" x14ac:dyDescent="0.3">
      <c r="A68" t="s">
        <v>33</v>
      </c>
      <c r="B68" t="s">
        <v>18</v>
      </c>
      <c r="C68" t="s">
        <v>19</v>
      </c>
      <c r="D68">
        <v>3300</v>
      </c>
      <c r="E68">
        <v>10</v>
      </c>
      <c r="F68">
        <v>100</v>
      </c>
      <c r="G68">
        <v>0.6</v>
      </c>
      <c r="H68">
        <v>108.33333330000001</v>
      </c>
      <c r="I68">
        <v>2.9000000000000001E-2</v>
      </c>
    </row>
    <row r="69" spans="1:9" x14ac:dyDescent="0.3">
      <c r="A69" t="s">
        <v>33</v>
      </c>
      <c r="B69" t="s">
        <v>20</v>
      </c>
      <c r="C69" t="s">
        <v>20</v>
      </c>
      <c r="D69">
        <v>3000</v>
      </c>
      <c r="E69">
        <v>10</v>
      </c>
      <c r="F69">
        <v>50</v>
      </c>
      <c r="G69">
        <v>0.95</v>
      </c>
      <c r="H69">
        <v>73.684210530000001</v>
      </c>
      <c r="I69">
        <v>2.9000000000000001E-2</v>
      </c>
    </row>
    <row r="70" spans="1:9" x14ac:dyDescent="0.3">
      <c r="A70" t="s">
        <v>33</v>
      </c>
      <c r="B70" t="s">
        <v>21</v>
      </c>
      <c r="C70" t="s">
        <v>21</v>
      </c>
      <c r="D70">
        <v>3000</v>
      </c>
      <c r="E70">
        <v>10</v>
      </c>
      <c r="F70">
        <v>100</v>
      </c>
      <c r="G70">
        <v>0.6</v>
      </c>
      <c r="H70">
        <v>100</v>
      </c>
      <c r="I70">
        <v>2.9000000000000001E-2</v>
      </c>
    </row>
    <row r="71" spans="1:9" x14ac:dyDescent="0.3">
      <c r="A71" t="s">
        <v>33</v>
      </c>
      <c r="B71" t="s">
        <v>22</v>
      </c>
      <c r="C71" t="s">
        <v>22</v>
      </c>
      <c r="D71">
        <v>2000</v>
      </c>
      <c r="E71">
        <v>20</v>
      </c>
      <c r="F71">
        <v>50</v>
      </c>
      <c r="G71">
        <v>0.9</v>
      </c>
      <c r="H71">
        <v>66.666666669999998</v>
      </c>
      <c r="I71">
        <v>2.9000000000000001E-2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A44.cost_efficiency_EUR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Dirk-Jan vd Ven</cp:lastModifiedBy>
  <dcterms:created xsi:type="dcterms:W3CDTF">2024-12-12T15:59:39Z</dcterms:created>
  <dcterms:modified xsi:type="dcterms:W3CDTF">2025-01-02T11:15:26Z</dcterms:modified>
</cp:coreProperties>
</file>